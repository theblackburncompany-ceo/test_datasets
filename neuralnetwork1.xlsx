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blackburn\Desktop\"/>
    </mc:Choice>
  </mc:AlternateContent>
  <xr:revisionPtr revIDLastSave="0" documentId="13_ncr:1_{9B21CD4A-07F2-47FD-AA7A-AC481003BC87}" xr6:coauthVersionLast="47" xr6:coauthVersionMax="47" xr10:uidLastSave="{00000000-0000-0000-0000-000000000000}"/>
  <bookViews>
    <workbookView xWindow="-120" yWindow="-120" windowWidth="29040" windowHeight="15840" xr2:uid="{0E53ED37-9D70-4925-8C5C-2669D073711F}"/>
  </bookViews>
  <sheets>
    <sheet name="Data_postconvert" sheetId="5" r:id="rId1"/>
    <sheet name="Data_preconvert" sheetId="1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D10" i="5"/>
  <c r="D17" i="5"/>
  <c r="D18" i="5"/>
  <c r="B3" i="5"/>
  <c r="B4" i="5"/>
  <c r="B5" i="5"/>
  <c r="B6" i="5"/>
  <c r="B7" i="5"/>
  <c r="B8" i="5"/>
  <c r="D8" i="5" s="1"/>
  <c r="B9" i="5"/>
  <c r="B10" i="5"/>
  <c r="B11" i="5"/>
  <c r="B12" i="5"/>
  <c r="B13" i="5"/>
  <c r="B14" i="5"/>
  <c r="B15" i="5"/>
  <c r="B16" i="5"/>
  <c r="D16" i="5" s="1"/>
  <c r="B17" i="5"/>
  <c r="B18" i="5"/>
  <c r="B19" i="5"/>
  <c r="B20" i="5"/>
  <c r="B2" i="5"/>
  <c r="A3" i="5"/>
  <c r="D3" i="5" s="1"/>
  <c r="A4" i="5"/>
  <c r="D4" i="5" s="1"/>
  <c r="A5" i="5"/>
  <c r="D5" i="5" s="1"/>
  <c r="A6" i="5"/>
  <c r="D6" i="5" s="1"/>
  <c r="A7" i="5"/>
  <c r="D7" i="5" s="1"/>
  <c r="A8" i="5"/>
  <c r="A9" i="5"/>
  <c r="A10" i="5"/>
  <c r="A11" i="5"/>
  <c r="D11" i="5" s="1"/>
  <c r="A12" i="5"/>
  <c r="D12" i="5" s="1"/>
  <c r="A13" i="5"/>
  <c r="D13" i="5" s="1"/>
  <c r="A14" i="5"/>
  <c r="D14" i="5" s="1"/>
  <c r="A15" i="5"/>
  <c r="D15" i="5" s="1"/>
  <c r="A16" i="5"/>
  <c r="A17" i="5"/>
  <c r="A18" i="5"/>
  <c r="A19" i="5"/>
  <c r="D19" i="5" s="1"/>
  <c r="A20" i="5"/>
  <c r="D20" i="5" s="1"/>
  <c r="A2" i="5"/>
  <c r="D2" i="5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3" i="1"/>
  <c r="E2" i="1"/>
</calcChain>
</file>

<file path=xl/sharedStrings.xml><?xml version="1.0" encoding="utf-8"?>
<sst xmlns="http://schemas.openxmlformats.org/spreadsheetml/2006/main" count="27" uniqueCount="19">
  <si>
    <t>race</t>
  </si>
  <si>
    <t>age</t>
  </si>
  <si>
    <t>smoker</t>
  </si>
  <si>
    <t>Insurance</t>
  </si>
  <si>
    <t>1 = white</t>
  </si>
  <si>
    <t>2 = asian</t>
  </si>
  <si>
    <t>3 = mexican</t>
  </si>
  <si>
    <t>4 = black</t>
  </si>
  <si>
    <t>Tend to charge more and make more because of typical well coverage and ability to come in often to get seen, although tend to be healthier than most</t>
  </si>
  <si>
    <t>Tend to charge more and make more but they are more healthy and come in less regardless of coverage based on necessity</t>
  </si>
  <si>
    <t>Tend to typically be underinsured or semi-insured, sick often and compete with other demographic weightings</t>
  </si>
  <si>
    <t>Cash pay = 1</t>
  </si>
  <si>
    <t>Private = 2</t>
  </si>
  <si>
    <t>Medicare = 3</t>
  </si>
  <si>
    <t>No insurance = 4</t>
  </si>
  <si>
    <t>Non-smoker = 1</t>
  </si>
  <si>
    <t>Smoker =  4</t>
  </si>
  <si>
    <t>The higher the number</t>
  </si>
  <si>
    <t>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</si>
</sst>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C5B4-564A-4B7F-BA9A-06FFA811C259}">
  <sheetPr codeName="Sheet1"/>
  <dimension ref="A1:D20"/>
  <sheetViews>
    <sheetView tabSelected="1" workbookViewId="0">
      <selection activeCell="E12" sqref="E12"/>
    </sheetView>
  </sheetViews>
  <sheetFormatPr defaultRowHeight="15" x14ac:dyDescent="0.25"/>
  <cols>
    <col min="1" max="1" width="15.140625" customWidth="1"/>
    <col min="2" max="2" width="19.28515625" customWidth="1"/>
    <col min="3" max="3" width="21.5703125" customWidth="1"/>
    <col min="4" max="4" width="20.28515625" customWidth="1"/>
    <col min="5" max="5" width="54.28515625" customWidth="1"/>
  </cols>
  <sheetData>
    <row r="1" spans="1:4" s="1" customFormat="1" x14ac:dyDescent="0.25">
      <c r="A1" s="1" t="s">
        <v>0</v>
      </c>
      <c r="B1" s="1" t="s">
        <v>3</v>
      </c>
      <c r="C1" s="1" t="s">
        <v>2</v>
      </c>
      <c r="D1" s="1" t="s">
        <v>18</v>
      </c>
    </row>
    <row r="2" spans="1:4" x14ac:dyDescent="0.25">
      <c r="A2">
        <f>LOG(Data_preconvert!A2, 4)</f>
        <v>0</v>
      </c>
      <c r="B2">
        <f>LOG(Data_preconvert!C2, 4)</f>
        <v>0.5</v>
      </c>
      <c r="C2">
        <v>0</v>
      </c>
      <c r="D2">
        <f>A2+B2+C2</f>
        <v>0.5</v>
      </c>
    </row>
    <row r="3" spans="1:4" x14ac:dyDescent="0.25">
      <c r="A3">
        <f>LOG(Data_preconvert!A3, 4)</f>
        <v>0</v>
      </c>
      <c r="B3">
        <f>LOG(Data_preconvert!C3, 4)</f>
        <v>0</v>
      </c>
      <c r="C3">
        <v>0</v>
      </c>
      <c r="D3">
        <f>A3+B3+C3</f>
        <v>0</v>
      </c>
    </row>
    <row r="4" spans="1:4" x14ac:dyDescent="0.25">
      <c r="A4">
        <f>LOG(Data_preconvert!A4, 4)</f>
        <v>0</v>
      </c>
      <c r="B4">
        <f>LOG(Data_preconvert!C4, 4)</f>
        <v>0.5</v>
      </c>
      <c r="C4">
        <v>0</v>
      </c>
      <c r="D4">
        <f>A4+B4+C4</f>
        <v>0.5</v>
      </c>
    </row>
    <row r="5" spans="1:4" x14ac:dyDescent="0.25">
      <c r="A5">
        <f>LOG(Data_preconvert!A5, 4)</f>
        <v>1</v>
      </c>
      <c r="B5">
        <f>LOG(Data_preconvert!C5, 4)</f>
        <v>0.79248125036057815</v>
      </c>
      <c r="C5">
        <v>1</v>
      </c>
      <c r="D5">
        <f>A5+B5+C5</f>
        <v>2.792481250360578</v>
      </c>
    </row>
    <row r="6" spans="1:4" x14ac:dyDescent="0.25">
      <c r="A6">
        <f>LOG(Data_preconvert!A6, 4)</f>
        <v>0</v>
      </c>
      <c r="B6">
        <f>LOG(Data_preconvert!C6, 4)</f>
        <v>0.5</v>
      </c>
      <c r="C6">
        <v>0</v>
      </c>
      <c r="D6">
        <f>A6+B6+C6</f>
        <v>0.5</v>
      </c>
    </row>
    <row r="7" spans="1:4" x14ac:dyDescent="0.25">
      <c r="A7">
        <f>LOG(Data_preconvert!A7, 4)</f>
        <v>1</v>
      </c>
      <c r="B7">
        <f>LOG(Data_preconvert!C7, 4)</f>
        <v>0.79248125036057815</v>
      </c>
      <c r="C7">
        <v>1</v>
      </c>
      <c r="D7">
        <f>A7+B7+C7</f>
        <v>2.792481250360578</v>
      </c>
    </row>
    <row r="8" spans="1:4" x14ac:dyDescent="0.25">
      <c r="A8">
        <f>LOG(Data_preconvert!A8, 4)</f>
        <v>1</v>
      </c>
      <c r="B8">
        <f>LOG(Data_preconvert!C8, 4)</f>
        <v>0.79248125036057815</v>
      </c>
      <c r="C8">
        <v>0</v>
      </c>
      <c r="D8">
        <f>A8+B8+C8</f>
        <v>1.792481250360578</v>
      </c>
    </row>
    <row r="9" spans="1:4" x14ac:dyDescent="0.25">
      <c r="A9">
        <f>LOG(Data_preconvert!A9, 4)</f>
        <v>0.79248125036057815</v>
      </c>
      <c r="B9">
        <f>LOG(Data_preconvert!C9, 4)</f>
        <v>0.5</v>
      </c>
      <c r="C9">
        <v>0</v>
      </c>
      <c r="D9">
        <f>A9+B9+C9</f>
        <v>1.292481250360578</v>
      </c>
    </row>
    <row r="10" spans="1:4" x14ac:dyDescent="0.25">
      <c r="A10">
        <f>LOG(Data_preconvert!A10, 4)</f>
        <v>0.79248125036057815</v>
      </c>
      <c r="B10">
        <f>LOG(Data_preconvert!C10, 4)</f>
        <v>0.5</v>
      </c>
      <c r="C10">
        <v>1</v>
      </c>
      <c r="D10">
        <f>A10+B10+C10</f>
        <v>2.292481250360578</v>
      </c>
    </row>
    <row r="11" spans="1:4" x14ac:dyDescent="0.25">
      <c r="A11">
        <f>LOG(Data_preconvert!A11, 4)</f>
        <v>0.5</v>
      </c>
      <c r="B11">
        <f>LOG(Data_preconvert!C11, 4)</f>
        <v>0</v>
      </c>
      <c r="C11">
        <v>0</v>
      </c>
      <c r="D11">
        <f>A11+B11+C11</f>
        <v>0.5</v>
      </c>
    </row>
    <row r="12" spans="1:4" x14ac:dyDescent="0.25">
      <c r="A12">
        <f>LOG(Data_preconvert!A12, 4)</f>
        <v>1</v>
      </c>
      <c r="B12">
        <f>LOG(Data_preconvert!C12, 4)</f>
        <v>0.79248125036057815</v>
      </c>
      <c r="C12">
        <v>0</v>
      </c>
      <c r="D12">
        <f>A12+B12+C12</f>
        <v>1.792481250360578</v>
      </c>
    </row>
    <row r="13" spans="1:4" x14ac:dyDescent="0.25">
      <c r="A13">
        <f>LOG(Data_preconvert!A13, 4)</f>
        <v>0.5</v>
      </c>
      <c r="B13">
        <f>LOG(Data_preconvert!C13, 4)</f>
        <v>0.5</v>
      </c>
      <c r="C13">
        <v>0</v>
      </c>
      <c r="D13">
        <f>A13+B13+C13</f>
        <v>1</v>
      </c>
    </row>
    <row r="14" spans="1:4" x14ac:dyDescent="0.25">
      <c r="A14">
        <f>LOG(Data_preconvert!A14, 4)</f>
        <v>0</v>
      </c>
      <c r="B14">
        <f>LOG(Data_preconvert!C14, 4)</f>
        <v>0.5</v>
      </c>
      <c r="C14">
        <v>1</v>
      </c>
      <c r="D14">
        <f>A14+B14+C14</f>
        <v>1.5</v>
      </c>
    </row>
    <row r="15" spans="1:4" x14ac:dyDescent="0.25">
      <c r="A15">
        <f>LOG(Data_preconvert!A15, 4)</f>
        <v>0</v>
      </c>
      <c r="B15">
        <f>LOG(Data_preconvert!C15, 4)</f>
        <v>0.5</v>
      </c>
      <c r="C15">
        <v>0</v>
      </c>
      <c r="D15">
        <f>A15+B15+C15</f>
        <v>0.5</v>
      </c>
    </row>
    <row r="16" spans="1:4" x14ac:dyDescent="0.25">
      <c r="A16">
        <f>LOG(Data_preconvert!A16, 4)</f>
        <v>0.79248125036057815</v>
      </c>
      <c r="B16">
        <f>LOG(Data_preconvert!C16, 4)</f>
        <v>0.5</v>
      </c>
      <c r="C16">
        <v>0</v>
      </c>
      <c r="D16">
        <f>A16+B16+C16</f>
        <v>1.292481250360578</v>
      </c>
    </row>
    <row r="17" spans="1:4" x14ac:dyDescent="0.25">
      <c r="A17">
        <f>LOG(Data_preconvert!A17, 4)</f>
        <v>0</v>
      </c>
      <c r="B17">
        <f>LOG(Data_preconvert!C17, 4)</f>
        <v>1</v>
      </c>
      <c r="C17">
        <v>0</v>
      </c>
      <c r="D17">
        <f>A17+B17+C17</f>
        <v>1</v>
      </c>
    </row>
    <row r="18" spans="1:4" x14ac:dyDescent="0.25">
      <c r="A18">
        <f>LOG(Data_preconvert!A18, 4)</f>
        <v>0.5</v>
      </c>
      <c r="B18">
        <f>LOG(Data_preconvert!C18, 4)</f>
        <v>0.79248125036057815</v>
      </c>
      <c r="C18">
        <v>0</v>
      </c>
      <c r="D18">
        <f>A18+B18+C18</f>
        <v>1.292481250360578</v>
      </c>
    </row>
    <row r="19" spans="1:4" x14ac:dyDescent="0.25">
      <c r="A19">
        <f>LOG(Data_preconvert!A19, 4)</f>
        <v>0.79248125036057815</v>
      </c>
      <c r="B19">
        <f>LOG(Data_preconvert!C19, 4)</f>
        <v>0.5</v>
      </c>
      <c r="C19">
        <v>0</v>
      </c>
      <c r="D19">
        <f>A19+B19+C19</f>
        <v>1.292481250360578</v>
      </c>
    </row>
    <row r="20" spans="1:4" x14ac:dyDescent="0.25">
      <c r="A20">
        <f>LOG(Data_preconvert!A20, 4)</f>
        <v>0</v>
      </c>
      <c r="B20">
        <f>LOG(Data_preconvert!C20, 4)</f>
        <v>0.5</v>
      </c>
      <c r="C20">
        <v>1</v>
      </c>
      <c r="D20">
        <f>A20+B20+C20</f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BC18-A76F-4653-ADBC-9735EC8965CC}">
  <sheetPr codeName="Sheet2"/>
  <dimension ref="A1:F20"/>
  <sheetViews>
    <sheetView workbookViewId="0">
      <selection activeCell="D25" sqref="D25"/>
    </sheetView>
  </sheetViews>
  <sheetFormatPr defaultRowHeight="15" x14ac:dyDescent="0.25"/>
  <cols>
    <col min="1" max="1" width="15.140625" customWidth="1"/>
    <col min="2" max="3" width="19.28515625" customWidth="1"/>
    <col min="4" max="4" width="24.7109375" customWidth="1"/>
    <col min="5" max="5" width="32.140625" customWidth="1"/>
    <col min="6" max="6" width="54.28515625" customWidth="1"/>
  </cols>
  <sheetData>
    <row r="1" spans="1:6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6" x14ac:dyDescent="0.25">
      <c r="A2">
        <v>1</v>
      </c>
      <c r="B2">
        <v>16</v>
      </c>
      <c r="C2">
        <v>2</v>
      </c>
      <c r="D2">
        <v>0</v>
      </c>
      <c r="E2">
        <f>LOG(A2, 4)</f>
        <v>0</v>
      </c>
      <c r="F2" t="s">
        <v>17</v>
      </c>
    </row>
    <row r="3" spans="1:6" x14ac:dyDescent="0.25">
      <c r="A3">
        <v>1</v>
      </c>
      <c r="B3">
        <v>45</v>
      </c>
      <c r="C3">
        <v>1</v>
      </c>
      <c r="D3">
        <v>0</v>
      </c>
      <c r="E3">
        <f>LOG(A3,4)</f>
        <v>0</v>
      </c>
    </row>
    <row r="4" spans="1:6" x14ac:dyDescent="0.25">
      <c r="A4">
        <v>1</v>
      </c>
      <c r="B4">
        <v>82</v>
      </c>
      <c r="C4">
        <v>2</v>
      </c>
      <c r="D4">
        <v>0</v>
      </c>
      <c r="E4">
        <f t="shared" ref="E4:E20" si="0">LOG(A4,4)</f>
        <v>0</v>
      </c>
    </row>
    <row r="5" spans="1:6" x14ac:dyDescent="0.25">
      <c r="A5">
        <v>4</v>
      </c>
      <c r="B5">
        <v>67</v>
      </c>
      <c r="C5">
        <v>3</v>
      </c>
      <c r="D5">
        <v>1</v>
      </c>
      <c r="E5">
        <f t="shared" si="0"/>
        <v>1</v>
      </c>
    </row>
    <row r="6" spans="1:6" x14ac:dyDescent="0.25">
      <c r="A6">
        <v>1</v>
      </c>
      <c r="B6">
        <v>56</v>
      </c>
      <c r="C6">
        <v>2</v>
      </c>
      <c r="D6">
        <v>0</v>
      </c>
      <c r="E6">
        <f t="shared" si="0"/>
        <v>0</v>
      </c>
    </row>
    <row r="7" spans="1:6" x14ac:dyDescent="0.25">
      <c r="A7">
        <v>4</v>
      </c>
      <c r="B7">
        <v>69</v>
      </c>
      <c r="C7">
        <v>3</v>
      </c>
      <c r="D7">
        <v>1</v>
      </c>
      <c r="E7">
        <f t="shared" si="0"/>
        <v>1</v>
      </c>
    </row>
    <row r="8" spans="1:6" x14ac:dyDescent="0.25">
      <c r="A8">
        <v>4</v>
      </c>
      <c r="B8">
        <v>90</v>
      </c>
      <c r="C8">
        <v>3</v>
      </c>
      <c r="D8">
        <v>0</v>
      </c>
      <c r="E8">
        <f t="shared" si="0"/>
        <v>1</v>
      </c>
    </row>
    <row r="9" spans="1:6" x14ac:dyDescent="0.25">
      <c r="A9">
        <v>3</v>
      </c>
      <c r="B9">
        <v>49</v>
      </c>
      <c r="C9">
        <v>2</v>
      </c>
      <c r="D9">
        <v>0</v>
      </c>
      <c r="E9">
        <f t="shared" si="0"/>
        <v>0.79248125036057815</v>
      </c>
    </row>
    <row r="10" spans="1:6" x14ac:dyDescent="0.25">
      <c r="A10">
        <v>3</v>
      </c>
      <c r="B10">
        <v>36</v>
      </c>
      <c r="C10">
        <v>2</v>
      </c>
      <c r="D10">
        <v>1</v>
      </c>
      <c r="E10">
        <f t="shared" si="0"/>
        <v>0.79248125036057815</v>
      </c>
    </row>
    <row r="11" spans="1:6" x14ac:dyDescent="0.25">
      <c r="A11">
        <v>2</v>
      </c>
      <c r="B11">
        <v>27</v>
      </c>
      <c r="C11">
        <v>1</v>
      </c>
      <c r="D11">
        <v>0</v>
      </c>
      <c r="E11">
        <f t="shared" si="0"/>
        <v>0.5</v>
      </c>
    </row>
    <row r="12" spans="1:6" x14ac:dyDescent="0.25">
      <c r="A12">
        <v>4</v>
      </c>
      <c r="B12">
        <v>67</v>
      </c>
      <c r="C12">
        <v>3</v>
      </c>
      <c r="D12">
        <v>0</v>
      </c>
      <c r="E12">
        <f t="shared" si="0"/>
        <v>1</v>
      </c>
    </row>
    <row r="13" spans="1:6" x14ac:dyDescent="0.25">
      <c r="A13">
        <v>2</v>
      </c>
      <c r="B13">
        <v>61</v>
      </c>
      <c r="C13">
        <v>2</v>
      </c>
      <c r="D13">
        <v>0</v>
      </c>
      <c r="E13">
        <f t="shared" si="0"/>
        <v>0.5</v>
      </c>
    </row>
    <row r="14" spans="1:6" x14ac:dyDescent="0.25">
      <c r="A14">
        <v>1</v>
      </c>
      <c r="B14">
        <v>40</v>
      </c>
      <c r="C14">
        <v>2</v>
      </c>
      <c r="D14">
        <v>1</v>
      </c>
      <c r="E14">
        <f t="shared" si="0"/>
        <v>0</v>
      </c>
    </row>
    <row r="15" spans="1:6" x14ac:dyDescent="0.25">
      <c r="A15">
        <v>1</v>
      </c>
      <c r="B15">
        <v>45</v>
      </c>
      <c r="C15">
        <v>2</v>
      </c>
      <c r="D15">
        <v>0</v>
      </c>
      <c r="E15">
        <f t="shared" si="0"/>
        <v>0</v>
      </c>
    </row>
    <row r="16" spans="1:6" x14ac:dyDescent="0.25">
      <c r="A16">
        <v>3</v>
      </c>
      <c r="B16">
        <v>42</v>
      </c>
      <c r="C16">
        <v>2</v>
      </c>
      <c r="D16">
        <v>0</v>
      </c>
      <c r="E16">
        <f t="shared" si="0"/>
        <v>0.79248125036057815</v>
      </c>
    </row>
    <row r="17" spans="1:5" x14ac:dyDescent="0.25">
      <c r="A17">
        <v>1</v>
      </c>
      <c r="B17">
        <v>23</v>
      </c>
      <c r="C17">
        <v>4</v>
      </c>
      <c r="D17">
        <v>0</v>
      </c>
      <c r="E17">
        <f t="shared" si="0"/>
        <v>0</v>
      </c>
    </row>
    <row r="18" spans="1:5" x14ac:dyDescent="0.25">
      <c r="A18">
        <v>2</v>
      </c>
      <c r="B18">
        <v>66</v>
      </c>
      <c r="C18">
        <v>3</v>
      </c>
      <c r="D18">
        <v>0</v>
      </c>
      <c r="E18">
        <f t="shared" si="0"/>
        <v>0.5</v>
      </c>
    </row>
    <row r="19" spans="1:5" x14ac:dyDescent="0.25">
      <c r="A19">
        <v>3</v>
      </c>
      <c r="B19">
        <v>39</v>
      </c>
      <c r="C19">
        <v>2</v>
      </c>
      <c r="D19">
        <v>0</v>
      </c>
      <c r="E19">
        <f t="shared" si="0"/>
        <v>0.79248125036057815</v>
      </c>
    </row>
    <row r="20" spans="1:5" x14ac:dyDescent="0.25">
      <c r="A20">
        <v>1</v>
      </c>
      <c r="B20">
        <v>54</v>
      </c>
      <c r="C20">
        <v>2</v>
      </c>
      <c r="D20">
        <v>1</v>
      </c>
      <c r="E2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2C2F-6DCD-4BD9-96F0-6C13D79714C9}">
  <sheetPr codeName="Sheet3"/>
  <dimension ref="A1:E5"/>
  <sheetViews>
    <sheetView workbookViewId="0">
      <selection activeCell="E1" sqref="E1:E1048576"/>
    </sheetView>
  </sheetViews>
  <sheetFormatPr defaultRowHeight="15" x14ac:dyDescent="0.25"/>
  <cols>
    <col min="1" max="1" width="15.140625" customWidth="1"/>
    <col min="2" max="3" width="19.28515625" customWidth="1"/>
    <col min="4" max="4" width="21.42578125" style="3" customWidth="1"/>
    <col min="5" max="5" width="28.140625" customWidth="1"/>
  </cols>
  <sheetData>
    <row r="1" spans="1:5" s="1" customFormat="1" x14ac:dyDescent="0.25">
      <c r="A1" s="1" t="s">
        <v>0</v>
      </c>
      <c r="B1" s="1" t="s">
        <v>1</v>
      </c>
      <c r="C1" s="1" t="s">
        <v>3</v>
      </c>
      <c r="D1" s="2" t="s">
        <v>2</v>
      </c>
    </row>
    <row r="2" spans="1:5" x14ac:dyDescent="0.25">
      <c r="A2" t="s">
        <v>4</v>
      </c>
      <c r="C2" t="s">
        <v>11</v>
      </c>
      <c r="D2" s="3" t="s">
        <v>15</v>
      </c>
      <c r="E2" t="s">
        <v>8</v>
      </c>
    </row>
    <row r="3" spans="1:5" x14ac:dyDescent="0.25">
      <c r="A3" t="s">
        <v>5</v>
      </c>
      <c r="C3" t="s">
        <v>12</v>
      </c>
      <c r="D3" s="3" t="s">
        <v>16</v>
      </c>
      <c r="E3" t="s">
        <v>9</v>
      </c>
    </row>
    <row r="4" spans="1:5" x14ac:dyDescent="0.25">
      <c r="A4" t="s">
        <v>6</v>
      </c>
      <c r="C4" t="s">
        <v>13</v>
      </c>
      <c r="E4" t="s">
        <v>10</v>
      </c>
    </row>
    <row r="5" spans="1:5" x14ac:dyDescent="0.25">
      <c r="A5" t="s">
        <v>7</v>
      </c>
      <c r="C5" t="s">
        <v>14</v>
      </c>
      <c r="E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Data_postconvert</vt:lpstr>
      <vt:lpstr>Data_preconvert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Blackburn</dc:creator>
  <cp:lastModifiedBy>Steven Blackburn</cp:lastModifiedBy>
  <dcterms:created xsi:type="dcterms:W3CDTF">2023-11-27T22:55:33Z</dcterms:created>
  <dcterms:modified xsi:type="dcterms:W3CDTF">2023-11-27T23:43:01Z</dcterms:modified>
</cp:coreProperties>
</file>